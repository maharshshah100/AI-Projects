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Statement" sheetId="1" state="visible" r:id="rId3"/>
    <sheet name="Balance Sheet" sheetId="2" state="visible" r:id="rId4"/>
    <sheet name="Cash Flow Statem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<sst xmlns="http://schemas.openxmlformats.org/spreadsheetml/2006/main" count="84" uniqueCount="72">
  <si>
    <t xml:space="preserve">Nimbus Retail Inc.</t>
  </si>
  <si>
    <t xml:space="preserve">Income Statement</t>
  </si>
  <si>
    <t xml:space="preserve">Synthetic sample data generated for FinSight development/testing purposes.</t>
  </si>
  <si>
    <t xml:space="preserve">(in USD thousands)</t>
  </si>
  <si>
    <t xml:space="preserve">FY2023</t>
  </si>
  <si>
    <t xml:space="preserve">FY2024</t>
  </si>
  <si>
    <t xml:space="preserve">FY2025</t>
  </si>
  <si>
    <t xml:space="preserve">    Revenue</t>
  </si>
  <si>
    <t xml:space="preserve">    Cost of Goods Sold</t>
  </si>
  <si>
    <t xml:space="preserve">Gross Profit</t>
  </si>
  <si>
    <t xml:space="preserve">    Gross Margin %</t>
  </si>
  <si>
    <t xml:space="preserve">Operating Expenses</t>
  </si>
  <si>
    <t xml:space="preserve">    Selling, General &amp; Administrative</t>
  </si>
  <si>
    <t xml:space="preserve">    Research &amp; Development</t>
  </si>
  <si>
    <t xml:space="preserve">    Marketing</t>
  </si>
  <si>
    <t xml:space="preserve">Total Operating Expenses</t>
  </si>
  <si>
    <t xml:space="preserve">Operating Income (EBIT)</t>
  </si>
  <si>
    <t xml:space="preserve">    Operating Margin %</t>
  </si>
  <si>
    <t xml:space="preserve">    Interest Expense</t>
  </si>
  <si>
    <t xml:space="preserve">Pre-Tax Income</t>
  </si>
  <si>
    <t xml:space="preserve">    Income Tax Expense (25%)</t>
  </si>
  <si>
    <t xml:space="preserve">Net Income</t>
  </si>
  <si>
    <t xml:space="preserve">    Net Margin %</t>
  </si>
  <si>
    <t xml:space="preserve">Note: Synthetic illustrative data. Blue = hardcoded input, Black = formula. Tax rate held constant at 25% for simplicity.</t>
  </si>
  <si>
    <t xml:space="preserve">Balance Sheet</t>
  </si>
  <si>
    <t xml:space="preserve">Current Assets</t>
  </si>
  <si>
    <t xml:space="preserve">    Cash and Cash Equivalents</t>
  </si>
  <si>
    <t xml:space="preserve">    Accounts Receivable</t>
  </si>
  <si>
    <t xml:space="preserve">    Inventory</t>
  </si>
  <si>
    <t xml:space="preserve">    Prepaid Expenses</t>
  </si>
  <si>
    <t xml:space="preserve">Total Current Assets</t>
  </si>
  <si>
    <t xml:space="preserve">Non-Current Assets</t>
  </si>
  <si>
    <t xml:space="preserve">    Property, Plant &amp; Equipment (net)</t>
  </si>
  <si>
    <t xml:space="preserve">    Intangible Assets</t>
  </si>
  <si>
    <t xml:space="preserve">Total Non-Current Assets</t>
  </si>
  <si>
    <t xml:space="preserve">TOTAL ASSETS</t>
  </si>
  <si>
    <t xml:space="preserve">Current Liabilities</t>
  </si>
  <si>
    <t xml:space="preserve">    Accounts Payable</t>
  </si>
  <si>
    <t xml:space="preserve">    Short-Term Debt</t>
  </si>
  <si>
    <t xml:space="preserve">    Accrued Liabilities</t>
  </si>
  <si>
    <t xml:space="preserve">Total Current Liabilities</t>
  </si>
  <si>
    <t xml:space="preserve">Non-Current Liabilities</t>
  </si>
  <si>
    <t xml:space="preserve">    Long-Term Debt</t>
  </si>
  <si>
    <t xml:space="preserve">    Deferred Tax Liabilities</t>
  </si>
  <si>
    <t xml:space="preserve">Total Non-Current Liabilities</t>
  </si>
  <si>
    <t xml:space="preserve">TOTAL LIABILITIES</t>
  </si>
  <si>
    <t xml:space="preserve">Shareholders' Equity</t>
  </si>
  <si>
    <t xml:space="preserve">    Common Stock</t>
  </si>
  <si>
    <t xml:space="preserve">    Retained Earnings</t>
  </si>
  <si>
    <t xml:space="preserve">Total Shareholders' Equity</t>
  </si>
  <si>
    <t xml:space="preserve">TOTAL LIABILITIES + EQUITY</t>
  </si>
  <si>
    <t xml:space="preserve">    Balance Check (should be 0)</t>
  </si>
  <si>
    <t xml:space="preserve">Note: Synthetic illustrative data built to include realistic warning signs for testing (margin compression, rising leverage, working-capital strain, declining cash) -- not a real company.</t>
  </si>
  <si>
    <t xml:space="preserve">Cash Flow Statement</t>
  </si>
  <si>
    <t xml:space="preserve">Operating Activities</t>
  </si>
  <si>
    <t xml:space="preserve">    Net Income</t>
  </si>
  <si>
    <t xml:space="preserve">    Depreciation &amp; Amortization</t>
  </si>
  <si>
    <t xml:space="preserve">    Change in Accounts Receivable</t>
  </si>
  <si>
    <t xml:space="preserve">    Change in Inventory</t>
  </si>
  <si>
    <t xml:space="preserve">    Change in Accounts Payable</t>
  </si>
  <si>
    <t xml:space="preserve">Cash from Operating Activities</t>
  </si>
  <si>
    <t xml:space="preserve">Investing Activities</t>
  </si>
  <si>
    <t xml:space="preserve">    Capital Expenditures</t>
  </si>
  <si>
    <t xml:space="preserve">Cash from Investing Activities</t>
  </si>
  <si>
    <t xml:space="preserve">Financing Activities</t>
  </si>
  <si>
    <t xml:space="preserve">    Net Debt Issuance / (Repayment)</t>
  </si>
  <si>
    <t xml:space="preserve">    Dividends Paid</t>
  </si>
  <si>
    <t xml:space="preserve">Cash from Financing Activities</t>
  </si>
  <si>
    <t xml:space="preserve">Net Change in Cash</t>
  </si>
  <si>
    <t xml:space="preserve">    Beginning Cash Balance</t>
  </si>
  <si>
    <t xml:space="preserve">Ending Cash Balance</t>
  </si>
  <si>
    <t xml:space="preserve">Note: Ending cash is approximately, but not exactly, reconciled to the Balance Sheet cash line -- intentional for a synthetic test fixture, not a fully audited 3-statement model.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</si>
</sst>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color rgb="FF2E5395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6" t="s">
        <v>7</v>
      </c>
      <c r="B6" s="7" t="n">
        <v>120000</v>
      </c>
      <c r="C6" s="7" t="n">
        <v>138000</v>
      </c>
      <c r="D6" s="7" t="n">
        <v>150000</v>
      </c>
    </row>
    <row r="7" customFormat="false" ht="15" hidden="false" customHeight="false" outlineLevel="0" collapsed="false">
      <c r="A7" s="6" t="s">
        <v>8</v>
      </c>
      <c r="B7" s="7" t="n">
        <v>-72000</v>
      </c>
      <c r="C7" s="7" t="n">
        <v>-84000</v>
      </c>
      <c r="D7" s="7" t="n">
        <v>-96000</v>
      </c>
    </row>
    <row r="8" customFormat="false" ht="15" hidden="false" customHeight="false" outlineLevel="0" collapsed="false">
      <c r="A8" s="8" t="s">
        <v>9</v>
      </c>
      <c r="B8" s="9" t="n">
        <f aca="false">B6+B7</f>
        <v>48000</v>
      </c>
      <c r="C8" s="9" t="n">
        <f aca="false">C6+C7</f>
        <v>54000</v>
      </c>
      <c r="D8" s="9" t="n">
        <f aca="false">D6+D7</f>
        <v>54000</v>
      </c>
    </row>
    <row r="9" customFormat="false" ht="15" hidden="false" customHeight="false" outlineLevel="0" collapsed="false">
      <c r="A9" s="6" t="s">
        <v>10</v>
      </c>
      <c r="B9" s="10" t="n">
        <f aca="false">B8/B6</f>
        <v>0.4</v>
      </c>
      <c r="C9" s="10" t="n">
        <f aca="false">C8/C6</f>
        <v>0.391304347826087</v>
      </c>
      <c r="D9" s="10" t="n">
        <f aca="false">D8/D6</f>
        <v>0.36</v>
      </c>
    </row>
    <row r="11" customFormat="false" ht="15" hidden="false" customHeight="false" outlineLevel="0" collapsed="false">
      <c r="A11" s="11" t="s">
        <v>11</v>
      </c>
      <c r="B11" s="12"/>
      <c r="C11" s="12"/>
      <c r="D11" s="12"/>
    </row>
    <row r="12" customFormat="false" ht="15" hidden="false" customHeight="false" outlineLevel="0" collapsed="false">
      <c r="A12" s="6" t="s">
        <v>12</v>
      </c>
      <c r="B12" s="7" t="n">
        <v>-22000</v>
      </c>
      <c r="C12" s="7" t="n">
        <v>-25000</v>
      </c>
      <c r="D12" s="7" t="n">
        <v>-27000</v>
      </c>
    </row>
    <row r="13" customFormat="false" ht="15" hidden="false" customHeight="false" outlineLevel="0" collapsed="false">
      <c r="A13" s="6" t="s">
        <v>13</v>
      </c>
      <c r="B13" s="7" t="n">
        <v>-3000</v>
      </c>
      <c r="C13" s="7" t="n">
        <v>-3500</v>
      </c>
      <c r="D13" s="7" t="n">
        <v>-4000</v>
      </c>
    </row>
    <row r="14" customFormat="false" ht="15" hidden="false" customHeight="false" outlineLevel="0" collapsed="false">
      <c r="A14" s="6" t="s">
        <v>14</v>
      </c>
      <c r="B14" s="7" t="n">
        <v>-8000</v>
      </c>
      <c r="C14" s="7" t="n">
        <v>-9500</v>
      </c>
      <c r="D14" s="7" t="n">
        <v>-10000</v>
      </c>
    </row>
    <row r="15" customFormat="false" ht="15" hidden="false" customHeight="false" outlineLevel="0" collapsed="false">
      <c r="A15" s="8" t="s">
        <v>15</v>
      </c>
      <c r="B15" s="9" t="n">
        <f aca="false">SUM(B12:B14)</f>
        <v>-33000</v>
      </c>
      <c r="C15" s="9" t="n">
        <f aca="false">SUM(C12:C14)</f>
        <v>-38000</v>
      </c>
      <c r="D15" s="9" t="n">
        <f aca="false">SUM(D12:D14)</f>
        <v>-41000</v>
      </c>
    </row>
    <row r="17" customFormat="false" ht="15" hidden="false" customHeight="false" outlineLevel="0" collapsed="false">
      <c r="A17" s="8" t="s">
        <v>16</v>
      </c>
      <c r="B17" s="9" t="n">
        <f aca="false">B8+B15</f>
        <v>15000</v>
      </c>
      <c r="C17" s="9" t="n">
        <f aca="false">C8+C15</f>
        <v>16000</v>
      </c>
      <c r="D17" s="9" t="n">
        <f aca="false">D8+D15</f>
        <v>13000</v>
      </c>
    </row>
    <row r="18" customFormat="false" ht="15" hidden="false" customHeight="false" outlineLevel="0" collapsed="false">
      <c r="A18" s="6" t="s">
        <v>17</v>
      </c>
      <c r="B18" s="10" t="n">
        <f aca="false">B17/B6</f>
        <v>0.125</v>
      </c>
      <c r="C18" s="10" t="n">
        <f aca="false">C17/C6</f>
        <v>0.115942028985507</v>
      </c>
      <c r="D18" s="10" t="n">
        <f aca="false">D17/D6</f>
        <v>0.0866666666666667</v>
      </c>
    </row>
    <row r="20" customFormat="false" ht="15" hidden="false" customHeight="false" outlineLevel="0" collapsed="false">
      <c r="A20" s="6" t="s">
        <v>18</v>
      </c>
      <c r="B20" s="7" t="n">
        <v>-2000</v>
      </c>
      <c r="C20" s="7" t="n">
        <v>-2300</v>
      </c>
      <c r="D20" s="7" t="n">
        <v>-3200</v>
      </c>
    </row>
    <row r="21" customFormat="false" ht="15" hidden="false" customHeight="false" outlineLevel="0" collapsed="false">
      <c r="A21" s="8" t="s">
        <v>19</v>
      </c>
      <c r="B21" s="9" t="n">
        <f aca="false">B17+B20</f>
        <v>13000</v>
      </c>
      <c r="C21" s="9" t="n">
        <f aca="false">C17+C20</f>
        <v>13700</v>
      </c>
      <c r="D21" s="9" t="n">
        <f aca="false">D17+D20</f>
        <v>9800</v>
      </c>
    </row>
    <row r="22" customFormat="false" ht="15" hidden="false" customHeight="false" outlineLevel="0" collapsed="false">
      <c r="A22" s="6" t="s">
        <v>20</v>
      </c>
      <c r="B22" s="13" t="n">
        <f aca="false">-B21*0.25</f>
        <v>-3250</v>
      </c>
      <c r="C22" s="13" t="n">
        <f aca="false">-C21*0.25</f>
        <v>-3425</v>
      </c>
      <c r="D22" s="13" t="n">
        <f aca="false">-D21*0.25</f>
        <v>-2450</v>
      </c>
    </row>
    <row r="23" customFormat="false" ht="15" hidden="false" customHeight="false" outlineLevel="0" collapsed="false">
      <c r="A23" s="14" t="s">
        <v>21</v>
      </c>
      <c r="B23" s="15" t="n">
        <f aca="false">B21+B22</f>
        <v>9750</v>
      </c>
      <c r="C23" s="15" t="n">
        <f aca="false">C21+C22</f>
        <v>10275</v>
      </c>
      <c r="D23" s="15" t="n">
        <f aca="false">D21+D22</f>
        <v>7350</v>
      </c>
    </row>
    <row r="24" customFormat="false" ht="15" hidden="false" customHeight="false" outlineLevel="0" collapsed="false">
      <c r="A24" s="6" t="s">
        <v>22</v>
      </c>
      <c r="B24" s="10" t="n">
        <f aca="false">B23/B6</f>
        <v>0.08125</v>
      </c>
      <c r="C24" s="10" t="n">
        <f aca="false">C23/C6</f>
        <v>0.0744565217391304</v>
      </c>
      <c r="D24" s="10" t="n">
        <f aca="false">D23/D6</f>
        <v>0.049</v>
      </c>
    </row>
    <row r="26" customFormat="false" ht="15" hidden="false" customHeight="false" outlineLevel="0" collapsed="false">
      <c r="A26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11" t="s">
        <v>25</v>
      </c>
      <c r="B6" s="12"/>
      <c r="C6" s="12"/>
      <c r="D6" s="12"/>
    </row>
    <row r="7" customFormat="false" ht="15" hidden="false" customHeight="false" outlineLevel="0" collapsed="false">
      <c r="A7" s="6" t="s">
        <v>26</v>
      </c>
      <c r="B7" s="7" t="n">
        <v>15000</v>
      </c>
      <c r="C7" s="7" t="n">
        <v>12000</v>
      </c>
      <c r="D7" s="7" t="n">
        <v>8000</v>
      </c>
    </row>
    <row r="8" customFormat="false" ht="15" hidden="false" customHeight="false" outlineLevel="0" collapsed="false">
      <c r="A8" s="6" t="s">
        <v>27</v>
      </c>
      <c r="B8" s="7" t="n">
        <v>18000</v>
      </c>
      <c r="C8" s="7" t="n">
        <v>22000</v>
      </c>
      <c r="D8" s="7" t="n">
        <v>27000</v>
      </c>
    </row>
    <row r="9" customFormat="false" ht="15" hidden="false" customHeight="false" outlineLevel="0" collapsed="false">
      <c r="A9" s="6" t="s">
        <v>28</v>
      </c>
      <c r="B9" s="7" t="n">
        <v>20000</v>
      </c>
      <c r="C9" s="7" t="n">
        <v>24000</v>
      </c>
      <c r="D9" s="7" t="n">
        <v>31000</v>
      </c>
    </row>
    <row r="10" customFormat="false" ht="15" hidden="false" customHeight="false" outlineLevel="0" collapsed="false">
      <c r="A10" s="6" t="s">
        <v>29</v>
      </c>
      <c r="B10" s="7" t="n">
        <v>2000</v>
      </c>
      <c r="C10" s="7" t="n">
        <v>2200</v>
      </c>
      <c r="D10" s="7" t="n">
        <v>2400</v>
      </c>
    </row>
    <row r="11" customFormat="false" ht="15" hidden="false" customHeight="false" outlineLevel="0" collapsed="false">
      <c r="A11" s="8" t="s">
        <v>30</v>
      </c>
      <c r="B11" s="9" t="n">
        <f aca="false">SUM(B7:B10)</f>
        <v>55000</v>
      </c>
      <c r="C11" s="9" t="n">
        <f aca="false">SUM(C7:C10)</f>
        <v>60200</v>
      </c>
      <c r="D11" s="9" t="n">
        <f aca="false">SUM(D7:D10)</f>
        <v>68400</v>
      </c>
    </row>
    <row r="13" customFormat="false" ht="15" hidden="false" customHeight="false" outlineLevel="0" collapsed="false">
      <c r="A13" s="11" t="s">
        <v>31</v>
      </c>
      <c r="B13" s="12"/>
      <c r="C13" s="12"/>
      <c r="D13" s="12"/>
    </row>
    <row r="14" customFormat="false" ht="15" hidden="false" customHeight="false" outlineLevel="0" collapsed="false">
      <c r="A14" s="6" t="s">
        <v>32</v>
      </c>
      <c r="B14" s="7" t="n">
        <v>40000</v>
      </c>
      <c r="C14" s="7" t="n">
        <v>44000</v>
      </c>
      <c r="D14" s="7" t="n">
        <v>47000</v>
      </c>
    </row>
    <row r="15" customFormat="false" ht="15" hidden="false" customHeight="false" outlineLevel="0" collapsed="false">
      <c r="A15" s="6" t="s">
        <v>33</v>
      </c>
      <c r="B15" s="7" t="n">
        <v>5000</v>
      </c>
      <c r="C15" s="7" t="n">
        <v>5000</v>
      </c>
      <c r="D15" s="7" t="n">
        <v>5000</v>
      </c>
    </row>
    <row r="16" customFormat="false" ht="15" hidden="false" customHeight="false" outlineLevel="0" collapsed="false">
      <c r="A16" s="8" t="s">
        <v>34</v>
      </c>
      <c r="B16" s="9" t="n">
        <f aca="false">SUM(B14:B15)</f>
        <v>45000</v>
      </c>
      <c r="C16" s="9" t="n">
        <f aca="false">SUM(C14:C15)</f>
        <v>49000</v>
      </c>
      <c r="D16" s="9" t="n">
        <f aca="false">SUM(D14:D15)</f>
        <v>52000</v>
      </c>
    </row>
    <row r="18" customFormat="false" ht="15" hidden="false" customHeight="false" outlineLevel="0" collapsed="false">
      <c r="A18" s="14" t="s">
        <v>35</v>
      </c>
      <c r="B18" s="15" t="n">
        <f aca="false">B11+B16</f>
        <v>100000</v>
      </c>
      <c r="C18" s="15" t="n">
        <f aca="false">C11+C16</f>
        <v>109200</v>
      </c>
      <c r="D18" s="15" t="n">
        <f aca="false">D11+D16</f>
        <v>120400</v>
      </c>
    </row>
    <row r="20" customFormat="false" ht="15" hidden="false" customHeight="false" outlineLevel="0" collapsed="false">
      <c r="A20" s="11" t="s">
        <v>36</v>
      </c>
      <c r="B20" s="12"/>
      <c r="C20" s="12"/>
      <c r="D20" s="12"/>
    </row>
    <row r="21" customFormat="false" ht="15" hidden="false" customHeight="false" outlineLevel="0" collapsed="false">
      <c r="A21" s="6" t="s">
        <v>37</v>
      </c>
      <c r="B21" s="7" t="n">
        <v>14000</v>
      </c>
      <c r="C21" s="7" t="n">
        <v>17000</v>
      </c>
      <c r="D21" s="7" t="n">
        <v>22000</v>
      </c>
    </row>
    <row r="22" customFormat="false" ht="15" hidden="false" customHeight="false" outlineLevel="0" collapsed="false">
      <c r="A22" s="6" t="s">
        <v>38</v>
      </c>
      <c r="B22" s="7" t="n">
        <v>5000</v>
      </c>
      <c r="C22" s="7" t="n">
        <v>6000</v>
      </c>
      <c r="D22" s="7" t="n">
        <v>9000</v>
      </c>
    </row>
    <row r="23" customFormat="false" ht="15" hidden="false" customHeight="false" outlineLevel="0" collapsed="false">
      <c r="A23" s="6" t="s">
        <v>39</v>
      </c>
      <c r="B23" s="7" t="n">
        <v>4000</v>
      </c>
      <c r="C23" s="7" t="n">
        <v>4500</v>
      </c>
      <c r="D23" s="7" t="n">
        <v>5000</v>
      </c>
    </row>
    <row r="24" customFormat="false" ht="15" hidden="false" customHeight="false" outlineLevel="0" collapsed="false">
      <c r="A24" s="8" t="s">
        <v>40</v>
      </c>
      <c r="B24" s="9" t="n">
        <f aca="false">SUM(B21:B23)</f>
        <v>23000</v>
      </c>
      <c r="C24" s="9" t="n">
        <f aca="false">SUM(C21:C23)</f>
        <v>27500</v>
      </c>
      <c r="D24" s="9" t="n">
        <f aca="false">SUM(D21:D23)</f>
        <v>36000</v>
      </c>
    </row>
    <row r="26" customFormat="false" ht="15" hidden="false" customHeight="false" outlineLevel="0" collapsed="false">
      <c r="A26" s="11" t="s">
        <v>41</v>
      </c>
      <c r="B26" s="12"/>
      <c r="C26" s="12"/>
      <c r="D26" s="12"/>
    </row>
    <row r="27" customFormat="false" ht="15" hidden="false" customHeight="false" outlineLevel="0" collapsed="false">
      <c r="A27" s="6" t="s">
        <v>42</v>
      </c>
      <c r="B27" s="7" t="n">
        <v>25000</v>
      </c>
      <c r="C27" s="7" t="n">
        <v>28000</v>
      </c>
      <c r="D27" s="7" t="n">
        <v>35000</v>
      </c>
    </row>
    <row r="28" customFormat="false" ht="15" hidden="false" customHeight="false" outlineLevel="0" collapsed="false">
      <c r="A28" s="6" t="s">
        <v>43</v>
      </c>
      <c r="B28" s="7" t="n">
        <v>3000</v>
      </c>
      <c r="C28" s="7" t="n">
        <v>3200</v>
      </c>
      <c r="D28" s="7" t="n">
        <v>3400</v>
      </c>
    </row>
    <row r="29" customFormat="false" ht="15" hidden="false" customHeight="false" outlineLevel="0" collapsed="false">
      <c r="A29" s="8" t="s">
        <v>44</v>
      </c>
      <c r="B29" s="9" t="n">
        <f aca="false">SUM(B27:B28)</f>
        <v>28000</v>
      </c>
      <c r="C29" s="9" t="n">
        <f aca="false">SUM(C27:C28)</f>
        <v>31200</v>
      </c>
      <c r="D29" s="9" t="n">
        <f aca="false">SUM(D27:D28)</f>
        <v>38400</v>
      </c>
    </row>
    <row r="31" customFormat="false" ht="15" hidden="false" customHeight="false" outlineLevel="0" collapsed="false">
      <c r="A31" s="8" t="s">
        <v>45</v>
      </c>
      <c r="B31" s="9" t="n">
        <f aca="false">B24+B29</f>
        <v>51000</v>
      </c>
      <c r="C31" s="9" t="n">
        <f aca="false">C24+C29</f>
        <v>58700</v>
      </c>
      <c r="D31" s="9" t="n">
        <f aca="false">D24+D29</f>
        <v>74400</v>
      </c>
    </row>
    <row r="33" customFormat="false" ht="15" hidden="false" customHeight="false" outlineLevel="0" collapsed="false">
      <c r="A33" s="11" t="s">
        <v>46</v>
      </c>
      <c r="B33" s="12"/>
      <c r="C33" s="12"/>
      <c r="D33" s="12"/>
    </row>
    <row r="34" customFormat="false" ht="15" hidden="false" customHeight="false" outlineLevel="0" collapsed="false">
      <c r="A34" s="6" t="s">
        <v>47</v>
      </c>
      <c r="B34" s="7" t="n">
        <v>20000</v>
      </c>
      <c r="C34" s="7" t="n">
        <v>20000</v>
      </c>
      <c r="D34" s="7" t="n">
        <v>20000</v>
      </c>
    </row>
    <row r="35" customFormat="false" ht="15" hidden="false" customHeight="false" outlineLevel="0" collapsed="false">
      <c r="A35" s="6" t="s">
        <v>48</v>
      </c>
      <c r="B35" s="7" t="n">
        <v>29000</v>
      </c>
      <c r="C35" s="7" t="n">
        <v>30500</v>
      </c>
      <c r="D35" s="7" t="n">
        <v>26000</v>
      </c>
    </row>
    <row r="36" customFormat="false" ht="15" hidden="false" customHeight="false" outlineLevel="0" collapsed="false">
      <c r="A36" s="8" t="s">
        <v>49</v>
      </c>
      <c r="B36" s="9" t="n">
        <f aca="false">SUM(B34:B35)</f>
        <v>49000</v>
      </c>
      <c r="C36" s="9" t="n">
        <f aca="false">SUM(C34:C35)</f>
        <v>50500</v>
      </c>
      <c r="D36" s="9" t="n">
        <f aca="false">SUM(D34:D35)</f>
        <v>46000</v>
      </c>
    </row>
    <row r="38" customFormat="false" ht="15" hidden="false" customHeight="false" outlineLevel="0" collapsed="false">
      <c r="A38" s="14" t="s">
        <v>50</v>
      </c>
      <c r="B38" s="15" t="n">
        <f aca="false">B31+B36</f>
        <v>100000</v>
      </c>
      <c r="C38" s="15" t="n">
        <f aca="false">C31+C36</f>
        <v>109200</v>
      </c>
      <c r="D38" s="15" t="n">
        <f aca="false">D31+D36</f>
        <v>120400</v>
      </c>
    </row>
    <row r="39" customFormat="false" ht="15" hidden="false" customHeight="false" outlineLevel="0" collapsed="false">
      <c r="A39" s="6" t="s">
        <v>51</v>
      </c>
      <c r="B39" s="13" t="n">
        <f aca="false">B18-B38</f>
        <v>0</v>
      </c>
      <c r="C39" s="13" t="n">
        <f aca="false">C18-C38</f>
        <v>0</v>
      </c>
      <c r="D39" s="13" t="n">
        <f aca="false">D18-D38</f>
        <v>0</v>
      </c>
    </row>
    <row r="41" customFormat="false" ht="15" hidden="false" customHeight="false" outlineLevel="0" collapsed="false">
      <c r="A41" s="3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11" t="s">
        <v>54</v>
      </c>
      <c r="B6" s="12"/>
      <c r="C6" s="12"/>
      <c r="D6" s="12"/>
    </row>
    <row r="7" customFormat="false" ht="15" hidden="false" customHeight="false" outlineLevel="0" collapsed="false">
      <c r="A7" s="6" t="s">
        <v>55</v>
      </c>
      <c r="B7" s="13" t="n">
        <f aca="false">'Income Statement'!B23</f>
        <v>9750</v>
      </c>
      <c r="C7" s="13" t="n">
        <f aca="false">'Income Statement'!C23</f>
        <v>10275</v>
      </c>
      <c r="D7" s="13" t="n">
        <f aca="false">'Income Statement'!D23</f>
        <v>7350</v>
      </c>
    </row>
    <row r="8" customFormat="false" ht="15" hidden="false" customHeight="false" outlineLevel="0" collapsed="false">
      <c r="A8" s="6" t="s">
        <v>56</v>
      </c>
      <c r="B8" s="7" t="n">
        <v>6000</v>
      </c>
      <c r="C8" s="7" t="n">
        <v>6500</v>
      </c>
      <c r="D8" s="7" t="n">
        <v>7000</v>
      </c>
    </row>
    <row r="9" customFormat="false" ht="15" hidden="false" customHeight="false" outlineLevel="0" collapsed="false">
      <c r="A9" s="6" t="s">
        <v>57</v>
      </c>
      <c r="B9" s="7" t="n">
        <v>-3000</v>
      </c>
      <c r="C9" s="7" t="n">
        <v>-4000</v>
      </c>
      <c r="D9" s="7" t="n">
        <v>-5000</v>
      </c>
    </row>
    <row r="10" customFormat="false" ht="15" hidden="false" customHeight="false" outlineLevel="0" collapsed="false">
      <c r="A10" s="6" t="s">
        <v>58</v>
      </c>
      <c r="B10" s="7" t="n">
        <v>-2500</v>
      </c>
      <c r="C10" s="7" t="n">
        <v>-4000</v>
      </c>
      <c r="D10" s="7" t="n">
        <v>-7000</v>
      </c>
    </row>
    <row r="11" customFormat="false" ht="15" hidden="false" customHeight="false" outlineLevel="0" collapsed="false">
      <c r="A11" s="6" t="s">
        <v>59</v>
      </c>
      <c r="B11" s="7" t="n">
        <v>2000</v>
      </c>
      <c r="C11" s="7" t="n">
        <v>3000</v>
      </c>
      <c r="D11" s="7" t="n">
        <v>5000</v>
      </c>
    </row>
    <row r="12" customFormat="false" ht="15" hidden="false" customHeight="false" outlineLevel="0" collapsed="false">
      <c r="A12" s="8" t="s">
        <v>60</v>
      </c>
      <c r="B12" s="9" t="n">
        <f aca="false">SUM(B7:B11)</f>
        <v>12250</v>
      </c>
      <c r="C12" s="9" t="n">
        <f aca="false">SUM(C7:C11)</f>
        <v>11775</v>
      </c>
      <c r="D12" s="9" t="n">
        <f aca="false">SUM(D7:D11)</f>
        <v>7350</v>
      </c>
    </row>
    <row r="14" customFormat="false" ht="15" hidden="false" customHeight="false" outlineLevel="0" collapsed="false">
      <c r="A14" s="11" t="s">
        <v>61</v>
      </c>
      <c r="B14" s="12"/>
      <c r="C14" s="12"/>
      <c r="D14" s="12"/>
    </row>
    <row r="15" customFormat="false" ht="15" hidden="false" customHeight="false" outlineLevel="0" collapsed="false">
      <c r="A15" s="6" t="s">
        <v>62</v>
      </c>
      <c r="B15" s="7" t="n">
        <v>-9000</v>
      </c>
      <c r="C15" s="7" t="n">
        <v>-10500</v>
      </c>
      <c r="D15" s="7" t="n">
        <v>-10000</v>
      </c>
    </row>
    <row r="16" customFormat="false" ht="15" hidden="false" customHeight="false" outlineLevel="0" collapsed="false">
      <c r="A16" s="8" t="s">
        <v>63</v>
      </c>
      <c r="B16" s="9" t="n">
        <f aca="false">B15</f>
        <v>-9000</v>
      </c>
      <c r="C16" s="9" t="n">
        <f aca="false">C15</f>
        <v>-10500</v>
      </c>
      <c r="D16" s="9" t="n">
        <f aca="false">D15</f>
        <v>-10000</v>
      </c>
    </row>
    <row r="18" customFormat="false" ht="15" hidden="false" customHeight="false" outlineLevel="0" collapsed="false">
      <c r="A18" s="11" t="s">
        <v>64</v>
      </c>
      <c r="B18" s="12"/>
      <c r="C18" s="12"/>
      <c r="D18" s="12"/>
    </row>
    <row r="19" customFormat="false" ht="15" hidden="false" customHeight="false" outlineLevel="0" collapsed="false">
      <c r="A19" s="6" t="s">
        <v>65</v>
      </c>
      <c r="B19" s="7" t="n">
        <v>3000</v>
      </c>
      <c r="C19" s="7" t="n">
        <v>4000</v>
      </c>
      <c r="D19" s="7" t="n">
        <v>10000</v>
      </c>
    </row>
    <row r="20" customFormat="false" ht="15" hidden="false" customHeight="false" outlineLevel="0" collapsed="false">
      <c r="A20" s="6" t="s">
        <v>66</v>
      </c>
      <c r="B20" s="7" t="n">
        <v>-8000</v>
      </c>
      <c r="C20" s="7" t="n">
        <v>-8275</v>
      </c>
      <c r="D20" s="7" t="n">
        <v>-11850</v>
      </c>
    </row>
    <row r="21" customFormat="false" ht="15" hidden="false" customHeight="false" outlineLevel="0" collapsed="false">
      <c r="A21" s="8" t="s">
        <v>67</v>
      </c>
      <c r="B21" s="9" t="n">
        <f aca="false">SUM(B19:B20)</f>
        <v>-5000</v>
      </c>
      <c r="C21" s="9" t="n">
        <f aca="false">SUM(C19:C20)</f>
        <v>-4275</v>
      </c>
      <c r="D21" s="9" t="n">
        <f aca="false">SUM(D19:D20)</f>
        <v>-1850</v>
      </c>
    </row>
    <row r="23" customFormat="false" ht="15" hidden="false" customHeight="false" outlineLevel="0" collapsed="false">
      <c r="A23" s="8" t="s">
        <v>68</v>
      </c>
      <c r="B23" s="9" t="n">
        <f aca="false">B12+B16+B21</f>
        <v>-1750</v>
      </c>
      <c r="C23" s="9" t="n">
        <f aca="false">C12+C16+C21</f>
        <v>-3000</v>
      </c>
      <c r="D23" s="9" t="n">
        <f aca="false">D12+D16+D21</f>
        <v>-4500</v>
      </c>
    </row>
    <row r="24" customFormat="false" ht="15" hidden="false" customHeight="false" outlineLevel="0" collapsed="false">
      <c r="A24" s="6" t="s">
        <v>69</v>
      </c>
      <c r="B24" s="7" t="n">
        <v>16750</v>
      </c>
      <c r="C24" s="7" t="n">
        <v>15000</v>
      </c>
      <c r="D24" s="7" t="n">
        <v>12000</v>
      </c>
    </row>
    <row r="25" customFormat="false" ht="15" hidden="false" customHeight="false" outlineLevel="0" collapsed="false">
      <c r="A25" s="14" t="s">
        <v>70</v>
      </c>
      <c r="B25" s="15" t="n">
        <f aca="false">B24+B23</f>
        <v>15000</v>
      </c>
      <c r="C25" s="15" t="n">
        <f aca="false">C24+C23</f>
        <v>12000</v>
      </c>
      <c r="D25" s="15" t="n">
        <f aca="false">D24+D23</f>
        <v>7500</v>
      </c>
    </row>
    <row r="27" customFormat="false" ht="15" hidden="false" customHeight="false" outlineLevel="0" collapsed="false">
      <c r="A27" s="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2026-09-07T04:49:23Z</dcterms:created>
  <dc:creator>openpyxl</dc:creator>
  <dc:description/>
  <dc:language>en-US</dc:language>
  <cp:lastModifiedBy/>
  <dcterms:modified xsi:type="dcterms:W3CDTF">2026-09-07T04:49:23Z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