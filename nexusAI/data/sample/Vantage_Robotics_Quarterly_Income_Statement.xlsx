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<sst xmlns="http://schemas.openxmlformats.org/spreadsheetml/2006/main" count="21" uniqueCount="21">
  <si>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Vantage Robotics Inc.</t>
  </si>
  <si>
    <t xml:space="preserve">Quarterly Income Statement -- FY2025</t>
  </si>
  <si>
    <t xml:space="preserve">Synthetic sample data generated for FinSight development/testing purposes.</t>
  </si>
  <si>
    <t xml:space="preserve">(in USD thousands)</t>
  </si>
  <si>
    <t xml:space="preserve">Q1 2025</t>
  </si>
  <si>
    <t xml:space="preserve">Q2 2025</t>
  </si>
  <si>
    <t xml:space="preserve">Q3 2025</t>
  </si>
  <si>
    <t xml:space="preserve">Q4 2025</t>
  </si>
  <si>
    <t xml:space="preserve">    Revenue</t>
  </si>
  <si>
    <t xml:space="preserve">    Cost of Goods Sold</t>
  </si>
  <si>
    <t xml:space="preserve">Gross Profit</t>
  </si>
  <si>
    <t xml:space="preserve">    Gross Margin %</t>
  </si>
  <si>
    <t xml:space="preserve">    Operating Expenses</t>
  </si>
  <si>
    <t xml:space="preserve">Operating Income</t>
  </si>
  <si>
    <t xml:space="preserve">    Operating Margin %</t>
  </si>
  <si>
    <t xml:space="preserve">    Interest Expense</t>
  </si>
  <si>
    <t xml:space="preserve">Pre-Tax Income</t>
  </si>
  <si>
    <t xml:space="preserve">    Income Tax Expense</t>
  </si>
  <si>
    <t xml:space="preserve">Net Income</t>
  </si>
  <si>
    <t xml:space="preserve">    Net Margin %</t>
  </si>
  <si>
    <t xml:space="preserve">Note: Deliberately income-statement-only (no balance sheet/cash flow) to test partial-document robustness.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</si>
</sst>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color rgb="FF2E5395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7" t="n">
        <v>22000</v>
      </c>
      <c r="C6" s="7" t="n">
        <v>24500</v>
      </c>
      <c r="D6" s="7" t="n">
        <v>23000</v>
      </c>
      <c r="E6" s="7" t="n">
        <v>27500</v>
      </c>
    </row>
    <row r="7" customFormat="false" ht="15" hidden="false" customHeight="false" outlineLevel="0" collapsed="false">
      <c r="A7" s="6" t="s">
        <v>9</v>
      </c>
      <c r="B7" s="7" t="n">
        <v>-13200</v>
      </c>
      <c r="C7" s="7" t="n">
        <v>-14700</v>
      </c>
      <c r="D7" s="7" t="n">
        <v>-14260</v>
      </c>
      <c r="E7" s="7" t="n">
        <v>-16775</v>
      </c>
    </row>
    <row r="8" customFormat="false" ht="15" hidden="false" customHeight="false" outlineLevel="0" collapsed="false">
      <c r="A8" s="8" t="s">
        <v>10</v>
      </c>
      <c r="B8" s="9" t="n">
        <f aca="false">B6+B7</f>
        <v>8800</v>
      </c>
      <c r="C8" s="9" t="n">
        <f aca="false">C6+C7</f>
        <v>9800</v>
      </c>
      <c r="D8" s="9" t="n">
        <f aca="false">D6+D7</f>
        <v>8740</v>
      </c>
      <c r="E8" s="9" t="n">
        <f aca="false">E6+E7</f>
        <v>10725</v>
      </c>
    </row>
    <row r="9" customFormat="false" ht="15" hidden="false" customHeight="false" outlineLevel="0" collapsed="false">
      <c r="A9" s="6" t="s">
        <v>11</v>
      </c>
      <c r="B9" s="10" t="n">
        <f aca="false">B8/B6</f>
        <v>0.4</v>
      </c>
      <c r="C9" s="10" t="n">
        <f aca="false">C8/C6</f>
        <v>0.4</v>
      </c>
      <c r="D9" s="10" t="n">
        <f aca="false">D8/D6</f>
        <v>0.38</v>
      </c>
      <c r="E9" s="10" t="n">
        <f aca="false">E8/E6</f>
        <v>0.39</v>
      </c>
    </row>
    <row r="11" customFormat="false" ht="15" hidden="false" customHeight="false" outlineLevel="0" collapsed="false">
      <c r="A11" s="6" t="s">
        <v>12</v>
      </c>
      <c r="B11" s="7" t="n">
        <v>-6500</v>
      </c>
      <c r="C11" s="7" t="n">
        <v>-6900</v>
      </c>
      <c r="D11" s="7" t="n">
        <v>-7100</v>
      </c>
      <c r="E11" s="7" t="n">
        <v>-7800</v>
      </c>
    </row>
    <row r="12" customFormat="false" ht="15" hidden="false" customHeight="false" outlineLevel="0" collapsed="false">
      <c r="A12" s="8" t="s">
        <v>13</v>
      </c>
      <c r="B12" s="9" t="n">
        <f aca="false">B8+B11</f>
        <v>2300</v>
      </c>
      <c r="C12" s="9" t="n">
        <f aca="false">C8+C11</f>
        <v>2900</v>
      </c>
      <c r="D12" s="9" t="n">
        <f aca="false">D8+D11</f>
        <v>1640</v>
      </c>
      <c r="E12" s="9" t="n">
        <f aca="false">E8+E11</f>
        <v>2925</v>
      </c>
    </row>
    <row r="13" customFormat="false" ht="15" hidden="false" customHeight="false" outlineLevel="0" collapsed="false">
      <c r="A13" s="6" t="s">
        <v>14</v>
      </c>
      <c r="B13" s="10" t="n">
        <f aca="false">B12/B6</f>
        <v>0.104545454545455</v>
      </c>
      <c r="C13" s="10" t="n">
        <f aca="false">C12/C6</f>
        <v>0.118367346938776</v>
      </c>
      <c r="D13" s="10" t="n">
        <f aca="false">D12/D6</f>
        <v>0.071304347826087</v>
      </c>
      <c r="E13" s="10" t="n">
        <f aca="false">E12/E6</f>
        <v>0.106363636363636</v>
      </c>
    </row>
    <row r="15" customFormat="false" ht="15" hidden="false" customHeight="false" outlineLevel="0" collapsed="false">
      <c r="A15" s="6" t="s">
        <v>15</v>
      </c>
      <c r="B15" s="7" t="n">
        <v>-400</v>
      </c>
      <c r="C15" s="7" t="n">
        <v>-420</v>
      </c>
      <c r="D15" s="7" t="n">
        <v>-440</v>
      </c>
      <c r="E15" s="7" t="n">
        <v>-460</v>
      </c>
    </row>
    <row r="16" customFormat="false" ht="15" hidden="false" customHeight="false" outlineLevel="0" collapsed="false">
      <c r="A16" s="8" t="s">
        <v>16</v>
      </c>
      <c r="B16" s="9" t="n">
        <f aca="false">B12+B15</f>
        <v>1900</v>
      </c>
      <c r="C16" s="9" t="n">
        <f aca="false">C12+C15</f>
        <v>2480</v>
      </c>
      <c r="D16" s="9" t="n">
        <f aca="false">D12+D15</f>
        <v>1200</v>
      </c>
      <c r="E16" s="9" t="n">
        <f aca="false">E12+E15</f>
        <v>2465</v>
      </c>
    </row>
    <row r="17" customFormat="false" ht="15" hidden="false" customHeight="false" outlineLevel="0" collapsed="false">
      <c r="A17" s="6" t="s">
        <v>17</v>
      </c>
      <c r="B17" s="11" t="n">
        <f aca="false">-B16*0.25</f>
        <v>-475</v>
      </c>
      <c r="C17" s="11" t="n">
        <f aca="false">-C16*0.25</f>
        <v>-620</v>
      </c>
      <c r="D17" s="11" t="n">
        <f aca="false">-D16*0.25</f>
        <v>-300</v>
      </c>
      <c r="E17" s="11" t="n">
        <f aca="false">-E16*0.25</f>
        <v>-616.25</v>
      </c>
    </row>
    <row r="18" customFormat="false" ht="15" hidden="false" customHeight="false" outlineLevel="0" collapsed="false">
      <c r="A18" s="12" t="s">
        <v>18</v>
      </c>
      <c r="B18" s="13" t="n">
        <f aca="false">B16+B17</f>
        <v>1425</v>
      </c>
      <c r="C18" s="13" t="n">
        <f aca="false">C16+C17</f>
        <v>1860</v>
      </c>
      <c r="D18" s="13" t="n">
        <f aca="false">D16+D17</f>
        <v>900</v>
      </c>
      <c r="E18" s="13" t="n">
        <f aca="false">E16+E17</f>
        <v>1848.75</v>
      </c>
    </row>
    <row r="19" customFormat="false" ht="15" hidden="false" customHeight="false" outlineLevel="0" collapsed="false">
      <c r="A19" s="6" t="s">
        <v>19</v>
      </c>
      <c r="B19" s="10" t="n">
        <f aca="false">B18/B6</f>
        <v>0.0647727272727273</v>
      </c>
      <c r="C19" s="10" t="n">
        <f aca="false">C18/C6</f>
        <v>0.0759183673469388</v>
      </c>
      <c r="D19" s="10" t="n">
        <f aca="false">D18/D6</f>
        <v>0.0391304347826087</v>
      </c>
      <c r="E19" s="10" t="n">
        <f aca="false">E18/E6</f>
        <v>0.0672272727272727</v>
      </c>
    </row>
    <row r="21" customFormat="false" ht="15" hidden="false" customHeight="false" outlineLevel="0" collapsed="false">
      <c r="A21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2026-09-12T10:04:12Z</dcterms:created>
  <dc:creator>openpyxl</dc:creator>
  <dc:description/>
  <dc:language>en-US</dc:language>
  <cp:lastModifiedBy/>
  <dcterms:modified xsi:type="dcterms:W3CDTF">2026-09-12T10:04:12Z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